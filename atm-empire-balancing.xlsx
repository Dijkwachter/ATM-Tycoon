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  <sheet name="Tiers" sheetId="2" state="visible" r:id="rId4"/>
    <sheet name="Upgrades" sheetId="3" state="visible" r:id="rId5"/>
    <sheet name="Simulatie" sheetId="4" state="visible" r:id="rId6"/>
    <sheet name="Mijlpalen" sheetId="5" state="visible" r:id="rId7"/>
    <sheet name="Bank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<sst xmlns="http://schemas.openxmlformats.org/spreadsheetml/2006/main" count="132" uniqueCount="129">
  <si>
    <t xml:space="preserve">ATM Empire - Balancing model</t>
  </si>
  <si>
    <t xml:space="preserve">Blauwe cellen zijn aannames die je kunt aanpassen. Alles rekent door.</t>
  </si>
  <si>
    <t xml:space="preserve">Aanname</t>
  </si>
  <si>
    <t xml:space="preserve">Waarde</t>
  </si>
  <si>
    <t xml:space="preserve">Toelichting</t>
  </si>
  <si>
    <t xml:space="preserve">Transactiekans per seconde</t>
  </si>
  <si>
    <t xml:space="preserve">Kans dat een automaat per seconde een transactie doet</t>
  </si>
  <si>
    <t xml:space="preserve">Gem. biljetten per transactie</t>
  </si>
  <si>
    <t xml:space="preserve">Cassette-drain per transactie</t>
  </si>
  <si>
    <t xml:space="preserve">Gem. inkomen-spreiding factor</t>
  </si>
  <si>
    <t xml:space="preserve">Gemiddelde van 0.8 tot 1.4 spreiding</t>
  </si>
  <si>
    <t xml:space="preserve">Gem. biljetwaarde float (EUR)</t>
  </si>
  <si>
    <t xml:space="preserve">Voor rentekosten over cash float</t>
  </si>
  <si>
    <t xml:space="preserve">Float rente per seconde</t>
  </si>
  <si>
    <t xml:space="preserve">Zachte rem op overfillen</t>
  </si>
  <si>
    <t xml:space="preserve">Slijtage per seconde</t>
  </si>
  <si>
    <t xml:space="preserve">Onderhoudsbalk-drain, 100% = vol</t>
  </si>
  <si>
    <t xml:space="preserve">Reparatieduur (sec)</t>
  </si>
  <si>
    <t xml:space="preserve">Zonder monteur</t>
  </si>
  <si>
    <t xml:space="preserve">Reparatieduur monteur (sec)</t>
  </si>
  <si>
    <t xml:space="preserve">Met monteur in dienst</t>
  </si>
  <si>
    <t xml:space="preserve">Offline factor</t>
  </si>
  <si>
    <t xml:space="preserve">Deel van normaal inkomen offline</t>
  </si>
  <si>
    <t xml:space="preserve">Offline cap (uren)</t>
  </si>
  <si>
    <t xml:space="preserve">Max offline-verdientijd</t>
  </si>
  <si>
    <t xml:space="preserve">Prestige bonus per level</t>
  </si>
  <si>
    <t xml:space="preserve">Permanente inkomensmultiplier</t>
  </si>
  <si>
    <t xml:space="preserve">100 euro biljet: inkomen x</t>
  </si>
  <si>
    <t xml:space="preserve">Na eerste prestige</t>
  </si>
  <si>
    <t xml:space="preserve">100 euro biljet: drain x</t>
  </si>
  <si>
    <t xml:space="preserve">Cassettes lopen sneller leeg</t>
  </si>
  <si>
    <t xml:space="preserve">CIT-kosten per rit (EUR)</t>
  </si>
  <si>
    <t xml:space="preserve">Vast tarief per servicing-rit, onafhankelijk van cassettegrootte</t>
  </si>
  <si>
    <t xml:space="preserve">Doel: max 2-3 min tot volgende unlock</t>
  </si>
  <si>
    <t xml:space="preserve">Streefwaarde in seconden (check-kolom Simulatie)</t>
  </si>
  <si>
    <t xml:space="preserve">DCC-bonus per toerist-transactie (EUR)</t>
  </si>
  <si>
    <t xml:space="preserve">Buitenlandse opname met DCC</t>
  </si>
  <si>
    <t xml:space="preserve">DCC-kans normale locatie</t>
  </si>
  <si>
    <t xml:space="preserve">Kans per transactie</t>
  </si>
  <si>
    <t xml:space="preserve">DCC-kans toeristische locatie</t>
  </si>
  <si>
    <t xml:space="preserve">Reizen, Station, Evenement, Horeca</t>
  </si>
  <si>
    <t xml:space="preserve">Stortingsfee per storting (EUR)</t>
  </si>
  <si>
    <t xml:space="preserve">Alleen op recyclers</t>
  </si>
  <si>
    <t xml:space="preserve">Stortingskans recycler per sec</t>
  </si>
  <si>
    <t xml:space="preserve">2-6 biljetten terug de cassette in</t>
  </si>
  <si>
    <t xml:space="preserve">Voorrijkosten storing basis (EUR)</t>
  </si>
  <si>
    <t xml:space="preserve">Plus 20 per tier, IBNS geeft 8% korting per level</t>
  </si>
  <si>
    <t xml:space="preserve">Gem. druktefactor over etmaal</t>
  </si>
  <si>
    <t xml:space="preserve">Dagcyclus middelt rond 1,0 bij gemengde locaties</t>
  </si>
  <si>
    <t xml:space="preserve">Gem. banktarief-multiplier</t>
  </si>
  <si>
    <t xml:space="preserve">Gewogen over Bank Oranje, Rivierbank, Noorderbank</t>
  </si>
  <si>
    <t xml:space="preserve">Prijsgroei nieuwe automaat (factor)</t>
  </si>
  <si>
    <t xml:space="preserve">Verlaagd van 1,9 om middenspel-gat te dichten</t>
  </si>
  <si>
    <t xml:space="preserve">Tier</t>
  </si>
  <si>
    <t xml:space="preserve">Capaciteit (biljetten)</t>
  </si>
  <si>
    <t xml:space="preserve">Inkomen per transactie (EUR)</t>
  </si>
  <si>
    <t xml:space="preserve">Upgradekosten (EUR)</t>
  </si>
  <si>
    <t xml:space="preserve">Inkomen per min (EUR)</t>
  </si>
  <si>
    <t xml:space="preserve">Cassette leeg na (min)</t>
  </si>
  <si>
    <t xml:space="preserve">Refillkosten (EUR)</t>
  </si>
  <si>
    <t xml:space="preserve">Netto per refill-cyclus (EUR)</t>
  </si>
  <si>
    <t xml:space="preserve">Terugverdientijd upgrade (min)</t>
  </si>
  <si>
    <t xml:space="preserve">Lobby basic</t>
  </si>
  <si>
    <t xml:space="preserve">n.v.t.</t>
  </si>
  <si>
    <t xml:space="preserve">Lobby plus</t>
  </si>
  <si>
    <t xml:space="preserve">TTW unit</t>
  </si>
  <si>
    <t xml:space="preserve">TTW recycler</t>
  </si>
  <si>
    <t xml:space="preserve">Kostencurves netwerk-upgrades</t>
  </si>
  <si>
    <t xml:space="preserve">Upgrade</t>
  </si>
  <si>
    <t xml:space="preserve">Basis (EUR)</t>
  </si>
  <si>
    <t xml:space="preserve">Groeifactor</t>
  </si>
  <si>
    <t xml:space="preserve">Lvl 1</t>
  </si>
  <si>
    <t xml:space="preserve">Lvl 2</t>
  </si>
  <si>
    <t xml:space="preserve">Lvl 3</t>
  </si>
  <si>
    <t xml:space="preserve">Lvl 4</t>
  </si>
  <si>
    <t xml:space="preserve">Lvl 5</t>
  </si>
  <si>
    <t xml:space="preserve">Effect per level</t>
  </si>
  <si>
    <t xml:space="preserve">Grotere cassettes</t>
  </si>
  <si>
    <t xml:space="preserve">+40% capaciteit</t>
  </si>
  <si>
    <t xml:space="preserve">Beveiliging (IBNS)</t>
  </si>
  <si>
    <t xml:space="preserve">-12% slijtage</t>
  </si>
  <si>
    <t xml:space="preserve">CIT routeoptimalisatie</t>
  </si>
  <si>
    <t xml:space="preserve">-15% refillkosten</t>
  </si>
  <si>
    <t xml:space="preserve">Monteur (eenmalig)</t>
  </si>
  <si>
    <t xml:space="preserve">-</t>
  </si>
  <si>
    <t xml:space="preserve">Reparatie 30s naar 12s</t>
  </si>
  <si>
    <t xml:space="preserve">Progressie-simulatie: is er elke 2-3 minuten iets te vieren?</t>
  </si>
  <si>
    <t xml:space="preserve">Aanname: speler herinvesteert alles, gemiddeld netwerk-inkomen groeit per stap.</t>
  </si>
  <si>
    <t xml:space="preserve">Stap</t>
  </si>
  <si>
    <t xml:space="preserve">Gebeurtenis</t>
  </si>
  <si>
    <t xml:space="preserve">Kosten / drempel (EUR)</t>
  </si>
  <si>
    <t xml:space="preserve">Netwerk inkomen na stap (EUR/min)</t>
  </si>
  <si>
    <t xml:space="preserve">Spaartijd tot deze stap (min)</t>
  </si>
  <si>
    <t xml:space="preserve">Cumulatief (min)</t>
  </si>
  <si>
    <t xml:space="preserve">Check: &lt; 3 min?</t>
  </si>
  <si>
    <t xml:space="preserve">Start: 2x Lobby basic</t>
  </si>
  <si>
    <t xml:space="preserve">Mijlpaal 750 (bonus 150)</t>
  </si>
  <si>
    <t xml:space="preserve">3e automaat</t>
  </si>
  <si>
    <t xml:space="preserve">Upgrade 1x Lobby plus</t>
  </si>
  <si>
    <t xml:space="preserve">Cassette-upgrade lvl 1</t>
  </si>
  <si>
    <t xml:space="preserve">Level Stad (2.000 totaal)</t>
  </si>
  <si>
    <t xml:space="preserve">4e + 5e automaat (na Stad-bonus)</t>
  </si>
  <si>
    <t xml:space="preserve">Upgrade 2x TTW unit (na 4.000-bonus)</t>
  </si>
  <si>
    <t xml:space="preserve">Monteur in dienst</t>
  </si>
  <si>
    <t xml:space="preserve">Level Regio (8.000 totaal)</t>
  </si>
  <si>
    <t xml:space="preserve">2x TTW recycler (na 14.000-bonus)</t>
  </si>
  <si>
    <t xml:space="preserve">Prestige-drempel (25.000 totaal)</t>
  </si>
  <si>
    <t xml:space="preserve">Doel eerste prestige: 30 tot 45 min. Zie cumulatief bij de laatste stap.</t>
  </si>
  <si>
    <t xml:space="preserve">Totaal verdiend (EUR)</t>
  </si>
  <si>
    <t xml:space="preserve">Beloning (EUR)</t>
  </si>
  <si>
    <t xml:space="preserve">Beloning als % van drempel</t>
  </si>
  <si>
    <t xml:space="preserve">Label</t>
  </si>
  <si>
    <t xml:space="preserve">Eerste 750 verdiend</t>
  </si>
  <si>
    <t xml:space="preserve">Stad bereikt</t>
  </si>
  <si>
    <t xml:space="preserve">4.000 totaal</t>
  </si>
  <si>
    <t xml:space="preserve">Regio bereikt</t>
  </si>
  <si>
    <t xml:space="preserve">14.000 totaal</t>
  </si>
  <si>
    <t xml:space="preserve">Landelijk netwerk</t>
  </si>
  <si>
    <t xml:space="preserve">Bank</t>
  </si>
  <si>
    <t xml:space="preserve">Aandeel transacties</t>
  </si>
  <si>
    <t xml:space="preserve">Basistarief (x)</t>
  </si>
  <si>
    <t xml:space="preserve">Onderhandeling per level (+x)</t>
  </si>
  <si>
    <t xml:space="preserve">Max level</t>
  </si>
  <si>
    <t xml:space="preserve">Onderhandelkosten basis (EUR)</t>
  </si>
  <si>
    <t xml:space="preserve">Tarief op max</t>
  </si>
  <si>
    <t xml:space="preserve">Bank Oranje</t>
  </si>
  <si>
    <t xml:space="preserve">Rivierbank</t>
  </si>
  <si>
    <t xml:space="preserve">Noorderbank</t>
  </si>
  <si>
    <t xml:space="preserve">Zuiderbank (unlock Regio, 5.000)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</si>
</sst>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"/>
    <numFmt numFmtId="167" formatCode="&quot;€ &quot;#,##0"/>
    <numFmt numFmtId="168" formatCode="0.000000"/>
    <numFmt numFmtId="169" formatCode="0.0000"/>
    <numFmt numFmtId="170" formatCode="0"/>
    <numFmt numFmtId="171" formatCode="0.0%"/>
    <numFmt numFmtId="172" formatCode="&quot;€ &quot;#,##0"/>
    <numFmt numFmtId="173" formatCode="&quot;€ &quot;#,##0.00"/>
    <numFmt numFmtId="174" formatCode="&quot;€ &quot;#,##0.00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5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v>0.55</v>
      </c>
      <c r="C5" s="7" t="s">
        <v>6</v>
      </c>
    </row>
    <row r="6" customFormat="false" ht="15" hidden="false" customHeight="true" outlineLevel="0" collapsed="false">
      <c r="A6" s="5" t="s">
        <v>7</v>
      </c>
      <c r="B6" s="8" t="n">
        <v>1.5</v>
      </c>
      <c r="C6" s="7" t="s">
        <v>8</v>
      </c>
    </row>
    <row r="7" customFormat="false" ht="15" hidden="false" customHeight="true" outlineLevel="0" collapsed="false">
      <c r="A7" s="5" t="s">
        <v>9</v>
      </c>
      <c r="B7" s="8" t="n">
        <v>1.1</v>
      </c>
      <c r="C7" s="7" t="s">
        <v>10</v>
      </c>
    </row>
    <row r="8" customFormat="false" ht="15" hidden="false" customHeight="true" outlineLevel="0" collapsed="false">
      <c r="A8" s="5" t="s">
        <v>11</v>
      </c>
      <c r="B8" s="9" t="n">
        <v>40</v>
      </c>
      <c r="C8" s="7" t="s">
        <v>12</v>
      </c>
    </row>
    <row r="9" customFormat="false" ht="15" hidden="false" customHeight="true" outlineLevel="0" collapsed="false">
      <c r="A9" s="5" t="s">
        <v>13</v>
      </c>
      <c r="B9" s="10" t="n">
        <v>1.2E-005</v>
      </c>
      <c r="C9" s="7" t="s">
        <v>14</v>
      </c>
    </row>
    <row r="10" customFormat="false" ht="15" hidden="false" customHeight="true" outlineLevel="0" collapsed="false">
      <c r="A10" s="5" t="s">
        <v>15</v>
      </c>
      <c r="B10" s="11" t="n">
        <v>0.004</v>
      </c>
      <c r="C10" s="7" t="s">
        <v>16</v>
      </c>
    </row>
    <row r="11" customFormat="false" ht="15" hidden="false" customHeight="true" outlineLevel="0" collapsed="false">
      <c r="A11" s="5" t="s">
        <v>17</v>
      </c>
      <c r="B11" s="12" t="n">
        <v>30</v>
      </c>
      <c r="C11" s="7" t="s">
        <v>18</v>
      </c>
    </row>
    <row r="12" customFormat="false" ht="15" hidden="false" customHeight="true" outlineLevel="0" collapsed="false">
      <c r="A12" s="5" t="s">
        <v>19</v>
      </c>
      <c r="B12" s="12" t="n">
        <v>12</v>
      </c>
      <c r="C12" s="7" t="s">
        <v>20</v>
      </c>
    </row>
    <row r="13" customFormat="false" ht="15" hidden="false" customHeight="true" outlineLevel="0" collapsed="false">
      <c r="A13" s="5" t="s">
        <v>21</v>
      </c>
      <c r="B13" s="8" t="n">
        <v>0.5</v>
      </c>
      <c r="C13" s="7" t="s">
        <v>22</v>
      </c>
    </row>
    <row r="14" customFormat="false" ht="15" hidden="false" customHeight="true" outlineLevel="0" collapsed="false">
      <c r="A14" s="5" t="s">
        <v>23</v>
      </c>
      <c r="B14" s="12" t="n">
        <v>1</v>
      </c>
      <c r="C14" s="7" t="s">
        <v>24</v>
      </c>
    </row>
    <row r="15" customFormat="false" ht="15" hidden="false" customHeight="true" outlineLevel="0" collapsed="false">
      <c r="A15" s="5" t="s">
        <v>25</v>
      </c>
      <c r="B15" s="13" t="n">
        <v>0.25</v>
      </c>
      <c r="C15" s="7" t="s">
        <v>26</v>
      </c>
    </row>
    <row r="16" customFormat="false" ht="15" hidden="false" customHeight="true" outlineLevel="0" collapsed="false">
      <c r="A16" s="5" t="s">
        <v>27</v>
      </c>
      <c r="B16" s="8" t="n">
        <v>1.6</v>
      </c>
      <c r="C16" s="7" t="s">
        <v>28</v>
      </c>
    </row>
    <row r="17" customFormat="false" ht="15" hidden="false" customHeight="true" outlineLevel="0" collapsed="false">
      <c r="A17" s="5" t="s">
        <v>29</v>
      </c>
      <c r="B17" s="8" t="n">
        <v>1.4</v>
      </c>
      <c r="C17" s="7" t="s">
        <v>30</v>
      </c>
    </row>
    <row r="18" customFormat="false" ht="15" hidden="false" customHeight="true" outlineLevel="0" collapsed="false">
      <c r="A18" s="5" t="s">
        <v>31</v>
      </c>
      <c r="B18" s="9" t="n">
        <v>60</v>
      </c>
      <c r="C18" s="7" t="s">
        <v>32</v>
      </c>
    </row>
    <row r="19" customFormat="false" ht="15" hidden="false" customHeight="true" outlineLevel="0" collapsed="false">
      <c r="A19" s="5" t="s">
        <v>33</v>
      </c>
      <c r="B19" s="14" t="n">
        <v>150</v>
      </c>
      <c r="C19" s="7" t="s">
        <v>34</v>
      </c>
    </row>
    <row r="20" customFormat="false" ht="15" hidden="false" customHeight="false" outlineLevel="0" collapsed="false">
      <c r="A20" s="15" t="s">
        <v>35</v>
      </c>
      <c r="B20" s="16" t="n">
        <v>4</v>
      </c>
      <c r="C20" s="17" t="s">
        <v>36</v>
      </c>
    </row>
    <row r="21" customFormat="false" ht="15" hidden="false" customHeight="false" outlineLevel="0" collapsed="false">
      <c r="A21" s="15" t="s">
        <v>37</v>
      </c>
      <c r="B21" s="18" t="n">
        <v>0.05</v>
      </c>
      <c r="C21" s="17" t="s">
        <v>38</v>
      </c>
    </row>
    <row r="22" customFormat="false" ht="15" hidden="false" customHeight="false" outlineLevel="0" collapsed="false">
      <c r="A22" s="15" t="s">
        <v>39</v>
      </c>
      <c r="B22" s="18" t="n">
        <v>0.14</v>
      </c>
      <c r="C22" s="17" t="s">
        <v>40</v>
      </c>
    </row>
    <row r="23" customFormat="false" ht="15" hidden="false" customHeight="false" outlineLevel="0" collapsed="false">
      <c r="A23" s="15" t="s">
        <v>41</v>
      </c>
      <c r="B23" s="19" t="n">
        <v>0.5</v>
      </c>
      <c r="C23" s="17" t="s">
        <v>42</v>
      </c>
    </row>
    <row r="24" customFormat="false" ht="15" hidden="false" customHeight="false" outlineLevel="0" collapsed="false">
      <c r="A24" s="15" t="s">
        <v>43</v>
      </c>
      <c r="B24" s="18" t="n">
        <v>0.12</v>
      </c>
      <c r="C24" s="17" t="s">
        <v>44</v>
      </c>
    </row>
    <row r="25" customFormat="false" ht="15" hidden="false" customHeight="false" outlineLevel="0" collapsed="false">
      <c r="A25" s="15" t="s">
        <v>45</v>
      </c>
      <c r="B25" s="16" t="n">
        <v>40</v>
      </c>
      <c r="C25" s="17" t="s">
        <v>46</v>
      </c>
    </row>
    <row r="26" customFormat="false" ht="15" hidden="false" customHeight="false" outlineLevel="0" collapsed="false">
      <c r="A26" s="15" t="s">
        <v>47</v>
      </c>
      <c r="B26" s="20" t="n">
        <v>1</v>
      </c>
      <c r="C26" s="17" t="s">
        <v>48</v>
      </c>
    </row>
    <row r="27" customFormat="false" ht="15" hidden="false" customHeight="false" outlineLevel="0" collapsed="false">
      <c r="A27" s="15" t="s">
        <v>49</v>
      </c>
      <c r="B27" s="21" t="n">
        <v>1.02</v>
      </c>
      <c r="C27" s="17" t="s">
        <v>50</v>
      </c>
    </row>
    <row r="28" customFormat="false" ht="15" hidden="false" customHeight="false" outlineLevel="0" collapsed="false">
      <c r="A28" s="15" t="s">
        <v>51</v>
      </c>
      <c r="B28" s="20" t="n">
        <v>1.6</v>
      </c>
      <c r="C28" s="17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9" min="2" style="1" width="15"/>
  </cols>
  <sheetData>
    <row r="1" customFormat="false" ht="39" hidden="false" customHeight="true" outlineLevel="0" collapsed="false">
      <c r="A1" s="22" t="s">
        <v>53</v>
      </c>
      <c r="B1" s="22" t="s">
        <v>54</v>
      </c>
      <c r="C1" s="22" t="s">
        <v>55</v>
      </c>
      <c r="D1" s="22" t="s">
        <v>56</v>
      </c>
      <c r="E1" s="22" t="s">
        <v>57</v>
      </c>
      <c r="F1" s="22" t="s">
        <v>58</v>
      </c>
      <c r="G1" s="22" t="s">
        <v>59</v>
      </c>
      <c r="H1" s="22" t="s">
        <v>60</v>
      </c>
      <c r="I1" s="22" t="s">
        <v>61</v>
      </c>
    </row>
    <row r="2" customFormat="false" ht="15" hidden="false" customHeight="true" outlineLevel="0" collapsed="false">
      <c r="A2" s="5" t="s">
        <v>62</v>
      </c>
      <c r="B2" s="23" t="n">
        <v>100</v>
      </c>
      <c r="C2" s="9" t="n">
        <v>2</v>
      </c>
      <c r="D2" s="9" t="n">
        <v>0</v>
      </c>
      <c r="E2" s="24" t="n">
        <f aca="false">C2*Parameters!$B$5*Parameters!$B$7*60</f>
        <v>72.6</v>
      </c>
      <c r="F2" s="25" t="n">
        <f aca="false">B2/(Parameters!$B$5*Parameters!$B$6*60)</f>
        <v>2.02020202020202</v>
      </c>
      <c r="G2" s="26" t="n">
        <f aca="false">Parameters!$B$18</f>
        <v>60</v>
      </c>
      <c r="H2" s="26" t="n">
        <f aca="false">E2*F2-G2</f>
        <v>86.6666666666667</v>
      </c>
      <c r="I2" s="5" t="s">
        <v>63</v>
      </c>
    </row>
    <row r="3" customFormat="false" ht="15" hidden="false" customHeight="true" outlineLevel="0" collapsed="false">
      <c r="A3" s="5" t="s">
        <v>64</v>
      </c>
      <c r="B3" s="23" t="n">
        <v>160</v>
      </c>
      <c r="C3" s="9" t="n">
        <v>3</v>
      </c>
      <c r="D3" s="9" t="n">
        <v>350</v>
      </c>
      <c r="E3" s="24" t="n">
        <f aca="false">C3*Parameters!$B$5*Parameters!$B$7*60</f>
        <v>108.9</v>
      </c>
      <c r="F3" s="25" t="n">
        <f aca="false">B3/(Parameters!$B$5*Parameters!$B$6*60)</f>
        <v>3.23232323232323</v>
      </c>
      <c r="G3" s="26" t="n">
        <f aca="false">Parameters!$B$18</f>
        <v>60</v>
      </c>
      <c r="H3" s="26" t="n">
        <f aca="false">E3*F3-G3</f>
        <v>292</v>
      </c>
      <c r="I3" s="25" t="n">
        <f aca="false">D3/(E3-E2)</f>
        <v>9.64187327823691</v>
      </c>
    </row>
    <row r="4" customFormat="false" ht="15" hidden="false" customHeight="true" outlineLevel="0" collapsed="false">
      <c r="A4" s="5" t="s">
        <v>65</v>
      </c>
      <c r="B4" s="23" t="n">
        <v>240</v>
      </c>
      <c r="C4" s="9" t="n">
        <v>5</v>
      </c>
      <c r="D4" s="9" t="n">
        <v>840</v>
      </c>
      <c r="E4" s="24" t="n">
        <f aca="false">C4*Parameters!$B$5*Parameters!$B$7*60</f>
        <v>181.5</v>
      </c>
      <c r="F4" s="25" t="n">
        <f aca="false">B4/(Parameters!$B$5*Parameters!$B$6*60)</f>
        <v>4.84848484848485</v>
      </c>
      <c r="G4" s="26" t="n">
        <f aca="false">Parameters!$B$18</f>
        <v>60</v>
      </c>
      <c r="H4" s="26" t="n">
        <f aca="false">E4*F4-G4</f>
        <v>820</v>
      </c>
      <c r="I4" s="25" t="n">
        <f aca="false">D4/(E4-E3)</f>
        <v>11.5702479338843</v>
      </c>
    </row>
    <row r="5" customFormat="false" ht="15" hidden="false" customHeight="true" outlineLevel="0" collapsed="false">
      <c r="A5" s="5" t="s">
        <v>66</v>
      </c>
      <c r="B5" s="23" t="n">
        <v>340</v>
      </c>
      <c r="C5" s="9" t="n">
        <v>8</v>
      </c>
      <c r="D5" s="9" t="n">
        <v>2016</v>
      </c>
      <c r="E5" s="24" t="n">
        <f aca="false">C5*Parameters!$B$5*Parameters!$B$7*60</f>
        <v>290.4</v>
      </c>
      <c r="F5" s="25" t="n">
        <f aca="false">B5/(Parameters!$B$5*Parameters!$B$6*60)</f>
        <v>6.86868686868687</v>
      </c>
      <c r="G5" s="26" t="n">
        <f aca="false">Parameters!$B$18</f>
        <v>60</v>
      </c>
      <c r="H5" s="26" t="n">
        <f aca="false">E5*F5-G5</f>
        <v>1934.66666666667</v>
      </c>
      <c r="I5" s="25" t="n">
        <f aca="false">D5/(E5-E4)</f>
        <v>18.5123966942149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4"/>
    <col collapsed="false" customWidth="true" hidden="false" outlineLevel="0" max="9" min="9" style="1" width="26"/>
  </cols>
  <sheetData>
    <row r="1" customFormat="false" ht="15" hidden="false" customHeight="true" outlineLevel="0" collapsed="false">
      <c r="A1" s="27" t="s">
        <v>67</v>
      </c>
    </row>
    <row r="3" customFormat="false" ht="15" hidden="false" customHeight="true" outlineLevel="0" collapsed="false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</row>
    <row r="4" customFormat="false" ht="15" hidden="false" customHeight="true" outlineLevel="0" collapsed="false">
      <c r="A4" s="5" t="s">
        <v>77</v>
      </c>
      <c r="B4" s="9" t="n">
        <v>300</v>
      </c>
      <c r="C4" s="23" t="n">
        <v>2</v>
      </c>
      <c r="D4" s="26" t="n">
        <f aca="false">$B4*$C4^0</f>
        <v>300</v>
      </c>
      <c r="E4" s="26" t="n">
        <f aca="false">$B4*$C4^1</f>
        <v>600</v>
      </c>
      <c r="F4" s="26" t="n">
        <f aca="false">$B4*$C4^2</f>
        <v>1200</v>
      </c>
      <c r="G4" s="26" t="n">
        <f aca="false">$B4*$C4^3</f>
        <v>2400</v>
      </c>
      <c r="H4" s="26" t="n">
        <f aca="false">$B4*$C4^4</f>
        <v>4800</v>
      </c>
      <c r="I4" s="7" t="s">
        <v>78</v>
      </c>
    </row>
    <row r="5" customFormat="false" ht="15" hidden="false" customHeight="true" outlineLevel="0" collapsed="false">
      <c r="A5" s="5" t="s">
        <v>79</v>
      </c>
      <c r="B5" s="9" t="n">
        <v>250</v>
      </c>
      <c r="C5" s="23" t="n">
        <v>2</v>
      </c>
      <c r="D5" s="26" t="n">
        <f aca="false">$B5*$C5^0</f>
        <v>250</v>
      </c>
      <c r="E5" s="26" t="n">
        <f aca="false">$B5*$C5^1</f>
        <v>500</v>
      </c>
      <c r="F5" s="26" t="n">
        <f aca="false">$B5*$C5^2</f>
        <v>1000</v>
      </c>
      <c r="G5" s="26" t="n">
        <f aca="false">$B5*$C5^3</f>
        <v>2000</v>
      </c>
      <c r="H5" s="26" t="n">
        <f aca="false">$B5*$C5^4</f>
        <v>4000</v>
      </c>
      <c r="I5" s="7" t="s">
        <v>80</v>
      </c>
    </row>
    <row r="6" customFormat="false" ht="15" hidden="false" customHeight="true" outlineLevel="0" collapsed="false">
      <c r="A6" s="5" t="s">
        <v>81</v>
      </c>
      <c r="B6" s="9" t="n">
        <v>400</v>
      </c>
      <c r="C6" s="23" t="n">
        <v>2</v>
      </c>
      <c r="D6" s="26" t="n">
        <f aca="false">$B6*$C6^0</f>
        <v>400</v>
      </c>
      <c r="E6" s="26" t="n">
        <f aca="false">$B6*$C6^1</f>
        <v>800</v>
      </c>
      <c r="F6" s="26" t="n">
        <f aca="false">$B6*$C6^2</f>
        <v>1600</v>
      </c>
      <c r="G6" s="26" t="n">
        <f aca="false">$B6*$C6^3</f>
        <v>3200</v>
      </c>
      <c r="H6" s="26" t="n">
        <f aca="false">$B6*$C6^4</f>
        <v>6400</v>
      </c>
      <c r="I6" s="7" t="s">
        <v>82</v>
      </c>
    </row>
    <row r="7" customFormat="false" ht="15" hidden="false" customHeight="true" outlineLevel="0" collapsed="false">
      <c r="A7" s="5" t="s">
        <v>83</v>
      </c>
      <c r="B7" s="9" t="n">
        <v>3000</v>
      </c>
      <c r="C7" s="23" t="n">
        <v>1</v>
      </c>
      <c r="D7" s="26" t="n">
        <f aca="false">$B7*$C7^0</f>
        <v>3000</v>
      </c>
      <c r="E7" s="5" t="s">
        <v>84</v>
      </c>
      <c r="F7" s="5" t="s">
        <v>84</v>
      </c>
      <c r="G7" s="5" t="s">
        <v>84</v>
      </c>
      <c r="H7" s="5" t="s">
        <v>84</v>
      </c>
      <c r="I7" s="7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7" min="3" style="1" width="16"/>
  </cols>
  <sheetData>
    <row r="1" customFormat="false" ht="15" hidden="false" customHeight="true" outlineLevel="0" collapsed="false">
      <c r="A1" s="27" t="s">
        <v>86</v>
      </c>
    </row>
    <row r="2" customFormat="false" ht="15" hidden="false" customHeight="true" outlineLevel="0" collapsed="false">
      <c r="A2" s="3" t="s">
        <v>87</v>
      </c>
    </row>
    <row r="4" customFormat="false" ht="39" hidden="false" customHeight="true" outlineLevel="0" collapsed="false">
      <c r="A4" s="22" t="s">
        <v>88</v>
      </c>
      <c r="B4" s="22" t="s">
        <v>89</v>
      </c>
      <c r="C4" s="22" t="s">
        <v>90</v>
      </c>
      <c r="D4" s="22" t="s">
        <v>91</v>
      </c>
      <c r="E4" s="22" t="s">
        <v>92</v>
      </c>
      <c r="F4" s="22" t="s">
        <v>93</v>
      </c>
      <c r="G4" s="22" t="s">
        <v>94</v>
      </c>
    </row>
    <row r="5" customFormat="false" ht="15" hidden="false" customHeight="true" outlineLevel="0" collapsed="false">
      <c r="A5" s="5" t="n">
        <v>1</v>
      </c>
      <c r="B5" s="5" t="s">
        <v>95</v>
      </c>
      <c r="C5" s="9" t="n">
        <v>0</v>
      </c>
      <c r="D5" s="24" t="n">
        <f aca="false">2*Tiers!$E$2</f>
        <v>145.2</v>
      </c>
      <c r="E5" s="25" t="n">
        <v>0</v>
      </c>
      <c r="F5" s="25" t="n">
        <f aca="false">E5</f>
        <v>0</v>
      </c>
      <c r="G5" s="5" t="str">
        <f aca="false">IF(E5&lt;=3,"OK","TE LANG")</f>
        <v>OK</v>
      </c>
    </row>
    <row r="6" customFormat="false" ht="15" hidden="false" customHeight="true" outlineLevel="0" collapsed="false">
      <c r="A6" s="5" t="n">
        <v>2</v>
      </c>
      <c r="B6" s="5" t="s">
        <v>96</v>
      </c>
      <c r="C6" s="9" t="n">
        <v>0</v>
      </c>
      <c r="D6" s="24" t="n">
        <f aca="false">D5</f>
        <v>145.2</v>
      </c>
      <c r="E6" s="25" t="n">
        <f aca="false">IF(C6=0,0.5,C6/D5)</f>
        <v>0.5</v>
      </c>
      <c r="F6" s="25" t="n">
        <f aca="false">F5+E6</f>
        <v>0.5</v>
      </c>
      <c r="G6" s="5" t="str">
        <f aca="false">IF(E6&lt;=3,"OK","TE LANG")</f>
        <v>OK</v>
      </c>
    </row>
    <row r="7" customFormat="false" ht="15" hidden="false" customHeight="true" outlineLevel="0" collapsed="false">
      <c r="A7" s="5" t="n">
        <v>3</v>
      </c>
      <c r="B7" s="5" t="s">
        <v>97</v>
      </c>
      <c r="C7" s="9" t="n">
        <v>400</v>
      </c>
      <c r="D7" s="24" t="n">
        <f aca="false">3*Tiers!$E$2</f>
        <v>217.8</v>
      </c>
      <c r="E7" s="25" t="n">
        <f aca="false">IF(C7=0,0.5,C7/D6)</f>
        <v>2.75482093663912</v>
      </c>
      <c r="F7" s="25" t="n">
        <f aca="false">F6+E7</f>
        <v>3.25482093663912</v>
      </c>
      <c r="G7" s="5" t="str">
        <f aca="false">IF(E7&lt;=3,"OK","TE LANG")</f>
        <v>OK</v>
      </c>
    </row>
    <row r="8" customFormat="false" ht="15" hidden="false" customHeight="true" outlineLevel="0" collapsed="false">
      <c r="A8" s="5" t="n">
        <v>4</v>
      </c>
      <c r="B8" s="5" t="s">
        <v>98</v>
      </c>
      <c r="C8" s="26" t="n">
        <f aca="false">Tiers!$D$3</f>
        <v>350</v>
      </c>
      <c r="D8" s="24" t="n">
        <f aca="false">2*Tiers!$E$2+Tiers!$E$3</f>
        <v>254.1</v>
      </c>
      <c r="E8" s="25" t="n">
        <f aca="false">IF(C8=0,0.5,C8/D7)</f>
        <v>1.60697887970615</v>
      </c>
      <c r="F8" s="25" t="n">
        <f aca="false">F7+E8</f>
        <v>4.86179981634527</v>
      </c>
      <c r="G8" s="5" t="str">
        <f aca="false">IF(E8&lt;=3,"OK","TE LANG")</f>
        <v>OK</v>
      </c>
    </row>
    <row r="9" customFormat="false" ht="15" hidden="false" customHeight="true" outlineLevel="0" collapsed="false">
      <c r="A9" s="5" t="n">
        <v>5</v>
      </c>
      <c r="B9" s="5" t="s">
        <v>99</v>
      </c>
      <c r="C9" s="26" t="n">
        <f aca="false">Upgrades!$D$4</f>
        <v>300</v>
      </c>
      <c r="D9" s="24" t="n">
        <f aca="false">D8</f>
        <v>254.1</v>
      </c>
      <c r="E9" s="25" t="n">
        <f aca="false">IF(C9=0,0.5,C9/D8)</f>
        <v>1.18063754427391</v>
      </c>
      <c r="F9" s="25" t="n">
        <f aca="false">F8+E9</f>
        <v>6.04243736061918</v>
      </c>
      <c r="G9" s="5" t="str">
        <f aca="false">IF(E9&lt;=3,"OK","TE LANG")</f>
        <v>OK</v>
      </c>
    </row>
    <row r="10" customFormat="false" ht="15" hidden="false" customHeight="true" outlineLevel="0" collapsed="false">
      <c r="A10" s="5" t="n">
        <v>6</v>
      </c>
      <c r="B10" s="5" t="s">
        <v>100</v>
      </c>
      <c r="C10" s="9" t="n">
        <v>0</v>
      </c>
      <c r="D10" s="24" t="n">
        <f aca="false">D9</f>
        <v>254.1</v>
      </c>
      <c r="E10" s="25" t="n">
        <f aca="false">IF(C10=0,0.5,C10/D9)</f>
        <v>0.5</v>
      </c>
      <c r="F10" s="25" t="n">
        <f aca="false">F9+E10</f>
        <v>6.54243736061918</v>
      </c>
      <c r="G10" s="5" t="str">
        <f aca="false">IF(E10&lt;=3,"OK","TE LANG")</f>
        <v>OK</v>
      </c>
    </row>
    <row r="11" customFormat="false" ht="15" hidden="false" customHeight="true" outlineLevel="0" collapsed="false">
      <c r="A11" s="5" t="n">
        <v>7</v>
      </c>
      <c r="B11" s="5" t="s">
        <v>101</v>
      </c>
      <c r="C11" s="26" t="n">
        <f aca="false">400*Parameters!$B$28+400*Parameters!$B$28^2-Mijlpalen!$B$3</f>
        <v>1364</v>
      </c>
      <c r="D11" s="24" t="n">
        <f aca="false">4*Tiers!$E$2+Tiers!$E$3</f>
        <v>399.3</v>
      </c>
      <c r="E11" s="25" t="n">
        <f aca="false">IF(C11=0,0.5,C11/D10)</f>
        <v>5.36796536796537</v>
      </c>
      <c r="F11" s="25" t="n">
        <f aca="false">F10+E11</f>
        <v>11.9104027285845</v>
      </c>
      <c r="G11" s="5" t="str">
        <f aca="false">IF(E11&lt;=3,"OK","TE LANG")</f>
        <v>TE LANG</v>
      </c>
    </row>
    <row r="12" customFormat="false" ht="15" hidden="false" customHeight="true" outlineLevel="0" collapsed="false">
      <c r="A12" s="5" t="n">
        <v>8</v>
      </c>
      <c r="B12" s="5" t="s">
        <v>102</v>
      </c>
      <c r="C12" s="26" t="n">
        <f aca="false">2*Tiers!$D$4-Mijlpalen!$B$4</f>
        <v>1180</v>
      </c>
      <c r="D12" s="24" t="n">
        <f aca="false">2*Tiers!$E$2+Tiers!$E$3+2*Tiers!$E$4</f>
        <v>617.1</v>
      </c>
      <c r="E12" s="25" t="n">
        <f aca="false">IF(C12=0,0.5,C12/D11)</f>
        <v>2.95517155021287</v>
      </c>
      <c r="F12" s="25" t="n">
        <f aca="false">F11+E12</f>
        <v>14.8655742787974</v>
      </c>
      <c r="G12" s="5" t="str">
        <f aca="false">IF(E12&lt;=3,"OK","TE LANG")</f>
        <v>OK</v>
      </c>
    </row>
    <row r="13" customFormat="false" ht="15" hidden="false" customHeight="true" outlineLevel="0" collapsed="false">
      <c r="A13" s="5" t="n">
        <v>9</v>
      </c>
      <c r="B13" s="5" t="s">
        <v>103</v>
      </c>
      <c r="C13" s="26" t="n">
        <f aca="false">Upgrades!$B$7</f>
        <v>3000</v>
      </c>
      <c r="D13" s="24" t="n">
        <f aca="false">D12</f>
        <v>617.1</v>
      </c>
      <c r="E13" s="25" t="n">
        <f aca="false">IF(C13=0,0.5,C13/D12)</f>
        <v>4.86144871171609</v>
      </c>
      <c r="F13" s="25" t="n">
        <f aca="false">F12+E13</f>
        <v>19.7270229905135</v>
      </c>
      <c r="G13" s="5" t="str">
        <f aca="false">IF(E13&lt;=3,"OK","TE LANG")</f>
        <v>TE LANG</v>
      </c>
    </row>
    <row r="14" customFormat="false" ht="15" hidden="false" customHeight="true" outlineLevel="0" collapsed="false">
      <c r="A14" s="5" t="n">
        <v>10</v>
      </c>
      <c r="B14" s="5" t="s">
        <v>104</v>
      </c>
      <c r="C14" s="9" t="n">
        <v>0</v>
      </c>
      <c r="D14" s="24" t="n">
        <f aca="false">D13</f>
        <v>617.1</v>
      </c>
      <c r="E14" s="25" t="n">
        <f aca="false">IF(C14=0,0.5,C14/D13)</f>
        <v>0.5</v>
      </c>
      <c r="F14" s="25" t="n">
        <f aca="false">F13+E14</f>
        <v>20.2270229905135</v>
      </c>
      <c r="G14" s="5" t="str">
        <f aca="false">IF(E14&lt;=3,"OK","TE LANG")</f>
        <v>OK</v>
      </c>
    </row>
    <row r="15" customFormat="false" ht="15" hidden="false" customHeight="true" outlineLevel="0" collapsed="false">
      <c r="A15" s="5" t="n">
        <v>11</v>
      </c>
      <c r="B15" s="5" t="s">
        <v>105</v>
      </c>
      <c r="C15" s="26" t="n">
        <f aca="false">2*Tiers!$D$5-Mijlpalen!$B$6</f>
        <v>2532</v>
      </c>
      <c r="D15" s="24" t="n">
        <f aca="false">Tiers!$E$2+Tiers!$E$3+2*Tiers!$E$4+2*Tiers!$E$5</f>
        <v>1125.3</v>
      </c>
      <c r="E15" s="25" t="n">
        <f aca="false">IF(C15=0,0.5,C15/D14)</f>
        <v>4.10306271268838</v>
      </c>
      <c r="F15" s="25" t="n">
        <f aca="false">F14+E15</f>
        <v>24.3300857032019</v>
      </c>
      <c r="G15" s="5" t="str">
        <f aca="false">IF(E15&lt;=3,"OK","TE LANG")</f>
        <v>TE LANG</v>
      </c>
    </row>
    <row r="16" customFormat="false" ht="15" hidden="false" customHeight="true" outlineLevel="0" collapsed="false">
      <c r="A16" s="5" t="n">
        <v>12</v>
      </c>
      <c r="B16" s="5" t="s">
        <v>106</v>
      </c>
      <c r="C16" s="9" t="n">
        <v>0</v>
      </c>
      <c r="D16" s="24" t="n">
        <f aca="false">D15</f>
        <v>1125.3</v>
      </c>
      <c r="E16" s="25" t="n">
        <f aca="false">IF(C16=0,0.5,C16/D15)</f>
        <v>0.5</v>
      </c>
      <c r="F16" s="25" t="n">
        <f aca="false">F15+E16</f>
        <v>24.8300857032019</v>
      </c>
      <c r="G16" s="5" t="str">
        <f aca="false">IF(E16&lt;=3,"OK","TE LANG")</f>
        <v>OK</v>
      </c>
    </row>
    <row r="18" customFormat="false" ht="15" hidden="false" customHeight="true" outlineLevel="0" collapsed="false">
      <c r="A18" s="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2"/>
  </cols>
  <sheetData>
    <row r="1" customFormat="false" ht="15" hidden="false" customHeight="true" outlineLevel="0" collapsed="false">
      <c r="A1" s="4" t="s">
        <v>108</v>
      </c>
      <c r="B1" s="4" t="s">
        <v>109</v>
      </c>
      <c r="C1" s="4" t="s">
        <v>110</v>
      </c>
      <c r="D1" s="4" t="s">
        <v>111</v>
      </c>
    </row>
    <row r="2" customFormat="false" ht="15" hidden="false" customHeight="true" outlineLevel="0" collapsed="false">
      <c r="A2" s="9" t="n">
        <v>750</v>
      </c>
      <c r="B2" s="9" t="n">
        <v>150</v>
      </c>
      <c r="C2" s="28" t="n">
        <f aca="false">B2/A2</f>
        <v>0.2</v>
      </c>
      <c r="D2" s="5" t="s">
        <v>112</v>
      </c>
    </row>
    <row r="3" customFormat="false" ht="15" hidden="false" customHeight="true" outlineLevel="0" collapsed="false">
      <c r="A3" s="9" t="n">
        <v>2000</v>
      </c>
      <c r="B3" s="9" t="n">
        <v>300</v>
      </c>
      <c r="C3" s="28" t="n">
        <f aca="false">B3/A3</f>
        <v>0.15</v>
      </c>
      <c r="D3" s="5" t="s">
        <v>113</v>
      </c>
    </row>
    <row r="4" customFormat="false" ht="15" hidden="false" customHeight="true" outlineLevel="0" collapsed="false">
      <c r="A4" s="9" t="n">
        <v>4000</v>
      </c>
      <c r="B4" s="9" t="n">
        <v>500</v>
      </c>
      <c r="C4" s="28" t="n">
        <f aca="false">B4/A4</f>
        <v>0.125</v>
      </c>
      <c r="D4" s="5" t="s">
        <v>114</v>
      </c>
    </row>
    <row r="5" customFormat="false" ht="15" hidden="false" customHeight="true" outlineLevel="0" collapsed="false">
      <c r="A5" s="9" t="n">
        <v>8000</v>
      </c>
      <c r="B5" s="9" t="n">
        <v>900</v>
      </c>
      <c r="C5" s="28" t="n">
        <f aca="false">B5/A5</f>
        <v>0.1125</v>
      </c>
      <c r="D5" s="5" t="s">
        <v>115</v>
      </c>
    </row>
    <row r="6" customFormat="false" ht="15" hidden="false" customHeight="true" outlineLevel="0" collapsed="false">
      <c r="A6" s="9" t="n">
        <v>14000</v>
      </c>
      <c r="B6" s="9" t="n">
        <v>1500</v>
      </c>
      <c r="C6" s="28" t="n">
        <f aca="false">B6/A6</f>
        <v>0.107142857142857</v>
      </c>
      <c r="D6" s="5" t="s">
        <v>116</v>
      </c>
    </row>
    <row r="7" customFormat="false" ht="15" hidden="false" customHeight="true" outlineLevel="0" collapsed="false">
      <c r="A7" s="9" t="n">
        <v>25000</v>
      </c>
      <c r="B7" s="9" t="n">
        <v>3000</v>
      </c>
      <c r="C7" s="28" t="n">
        <f aca="false">B7/A7</f>
        <v>0.12</v>
      </c>
      <c r="D7" s="5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20"/>
  </cols>
  <sheetData>
    <row r="1" customFormat="false" ht="15" hidden="false" customHeight="false" outlineLevel="0" collapsed="false">
      <c r="A1" s="29" t="s">
        <v>118</v>
      </c>
      <c r="B1" s="29" t="s">
        <v>119</v>
      </c>
      <c r="C1" s="29" t="s">
        <v>120</v>
      </c>
      <c r="D1" s="29" t="s">
        <v>121</v>
      </c>
      <c r="E1" s="29" t="s">
        <v>122</v>
      </c>
      <c r="F1" s="29" t="s">
        <v>123</v>
      </c>
      <c r="G1" s="29" t="s">
        <v>124</v>
      </c>
    </row>
    <row r="2" customFormat="false" ht="15" hidden="false" customHeight="false" outlineLevel="0" collapsed="false">
      <c r="A2" s="15" t="s">
        <v>125</v>
      </c>
      <c r="B2" s="30" t="n">
        <v>0.5</v>
      </c>
      <c r="C2" s="21" t="n">
        <v>0.9</v>
      </c>
      <c r="D2" s="21" t="n">
        <v>0.05</v>
      </c>
      <c r="E2" s="31" t="n">
        <v>5</v>
      </c>
      <c r="F2" s="16" t="n">
        <v>500</v>
      </c>
      <c r="G2" s="32" t="n">
        <f aca="false">C2+D2*E2</f>
        <v>1.15</v>
      </c>
    </row>
    <row r="3" customFormat="false" ht="15" hidden="false" customHeight="false" outlineLevel="0" collapsed="false">
      <c r="A3" s="15" t="s">
        <v>126</v>
      </c>
      <c r="B3" s="30" t="n">
        <v>0.3</v>
      </c>
      <c r="C3" s="21" t="n">
        <v>1.1</v>
      </c>
      <c r="D3" s="21" t="n">
        <v>0.05</v>
      </c>
      <c r="E3" s="31" t="n">
        <v>5</v>
      </c>
      <c r="F3" s="16" t="n">
        <v>500</v>
      </c>
      <c r="G3" s="32" t="n">
        <f aca="false">C3+D3*E3</f>
        <v>1.35</v>
      </c>
    </row>
    <row r="4" customFormat="false" ht="15" hidden="false" customHeight="false" outlineLevel="0" collapsed="false">
      <c r="A4" s="15" t="s">
        <v>127</v>
      </c>
      <c r="B4" s="30" t="n">
        <v>0.2</v>
      </c>
      <c r="C4" s="21" t="n">
        <v>1.35</v>
      </c>
      <c r="D4" s="21" t="n">
        <v>0.05</v>
      </c>
      <c r="E4" s="31" t="n">
        <v>5</v>
      </c>
      <c r="F4" s="16" t="n">
        <v>500</v>
      </c>
      <c r="G4" s="32" t="n">
        <f aca="false">C4+D4*E4</f>
        <v>1.6</v>
      </c>
    </row>
    <row r="5" customFormat="false" ht="15" hidden="false" customHeight="false" outlineLevel="0" collapsed="false">
      <c r="A5" s="15" t="s">
        <v>128</v>
      </c>
      <c r="B5" s="30" t="n">
        <v>0.15</v>
      </c>
      <c r="C5" s="21" t="n">
        <v>1.5</v>
      </c>
      <c r="D5" s="21" t="n">
        <v>0.05</v>
      </c>
      <c r="E5" s="31" t="n">
        <v>5</v>
      </c>
      <c r="F5" s="16" t="n">
        <v>500</v>
      </c>
      <c r="G5" s="32" t="n">
        <f aca="false">C5+D5*E5</f>
        <v>1.75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2026-07-02T09:42:14Z</dcterms:created>
  <dc:creator>openpyxl</dc:creator>
  <dc:description/>
  <dc:language>en-US</dc:language>
  <cp:lastModifiedBy/>
  <dcterms:modified xsi:type="dcterms:W3CDTF">2026-07-02T15:42:09Z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